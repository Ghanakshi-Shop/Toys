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Summary" sheetId="1" state="visible" r:id="rId1"/>
    <sheet xmlns:r="http://schemas.openxmlformats.org/officeDocument/2006/relationships" name="Meesho Profit Calculator" sheetId="2" state="visible" r:id="rId2"/>
  </sheets>
  <definedNames>
    <definedName name="_xlnm._FilterDatabase" localSheetId="1" hidden="1">'Meesho Profit Calculator'!$A$5:$J$9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0" pivotButton="0" quotePrefix="0" xfId="0"/>
    <xf numFmtId="0" fontId="4" fillId="4" borderId="0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Editable input. Update with your actual amount or usable quantity.</t>
      </text>
    </comment>
    <comment ref="C5" authorId="0" shapeId="0">
      <text>
        <t>Editable input. Update with your actual amount or usable quantity.</t>
      </text>
    </comment>
    <comment ref="B6" authorId="0" shapeId="0">
      <text>
        <t>Editable input. Update with your actual amount or usable quantity.</t>
      </text>
    </comment>
    <comment ref="C6" authorId="0" shapeId="0">
      <text>
        <t>Editable input. Update with your actual amount or usable quantity.</t>
      </text>
    </comment>
    <comment ref="B7" authorId="0" shapeId="0">
      <text>
        <t>Editable input. Update with your actual amount or usable quantity.</t>
      </text>
    </comment>
    <comment ref="C7" authorId="0" shapeId="0">
      <text>
        <t>Editable input. Update with your actual amount or usable quantity.</t>
      </text>
    </comment>
    <comment ref="B8" authorId="0" shapeId="0">
      <text>
        <t>Editable input. Update with your actual amount or usable quantity.</t>
      </text>
    </comment>
    <comment ref="C8" authorId="0" shapeId="0">
      <text>
        <t>Editable input. Update with your actual amount or usable quantity.</t>
      </text>
    </comment>
    <comment ref="B9" authorId="0" shapeId="0">
      <text>
        <t>Editable input. Update with your actual amount or usable quantity.</t>
      </text>
    </comment>
    <comment ref="C9" authorId="0" shapeId="0">
      <text>
        <t>Editable input. Update with your actual amount or usable quantity.</t>
      </text>
    </comment>
    <comment ref="B10" authorId="0" shapeId="0">
      <text>
        <t>Editable input. Update with your actual amount or usable quantity.</t>
      </text>
    </comment>
    <comment ref="C10" authorId="0" shapeId="0">
      <text>
        <t>Editable input. Update with your actual amount or usable quantity.</t>
      </text>
    </comment>
    <comment ref="B11" authorId="0" shapeId="0">
      <text>
        <t>Editable input. Update with your actual amount or usable quantity.</t>
      </text>
    </comment>
    <comment ref="C11" authorId="0" shapeId="0">
      <text>
        <t>Editable input. Update with your actual amount or usable quantity.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GHANASHI – BUSINESS EXPENSE SUMMARY</t>
        </is>
      </c>
    </row>
    <row r="2">
      <c r="A2" s="2" t="inlineStr">
        <is>
          <t>Edit the blue input cells if any quantity or expense changes.</t>
        </is>
      </c>
    </row>
    <row r="3"/>
    <row r="4">
      <c r="A4" s="3" t="inlineStr">
        <is>
          <t>Expense</t>
        </is>
      </c>
      <c r="B4" s="3" t="inlineStr">
        <is>
          <t>Amount (₹)</t>
        </is>
      </c>
      <c r="C4" s="3" t="inlineStr">
        <is>
          <t>Quantity / units</t>
        </is>
      </c>
      <c r="D4" s="3" t="inlineStr">
        <is>
          <t>Cost per unit (₹)</t>
        </is>
      </c>
    </row>
    <row r="5">
      <c r="A5" s="4" t="inlineStr">
        <is>
          <t>Product purchase cost (90 products)</t>
        </is>
      </c>
      <c r="B5" s="5" t="n">
        <v>11000</v>
      </c>
      <c r="C5" s="6" t="n">
        <v>90</v>
      </c>
      <c r="D5" s="7">
        <f>B5/C5</f>
        <v/>
      </c>
    </row>
    <row r="6">
      <c r="A6" s="4" t="inlineStr">
        <is>
          <t>Delivery / inward transport charge</t>
        </is>
      </c>
      <c r="B6" s="5" t="n">
        <v>500</v>
      </c>
      <c r="C6" s="6" t="n">
        <v>90</v>
      </c>
      <c r="D6" s="7">
        <f>B6/C6</f>
        <v/>
      </c>
    </row>
    <row r="7">
      <c r="A7" s="4" t="inlineStr">
        <is>
          <t>Bubble wrapper</t>
        </is>
      </c>
      <c r="B7" s="5" t="n">
        <v>184</v>
      </c>
      <c r="C7" s="6" t="n">
        <v>90</v>
      </c>
      <c r="D7" s="7">
        <f>B7/C7</f>
        <v/>
      </c>
    </row>
    <row r="8">
      <c r="A8" s="4" t="inlineStr">
        <is>
          <t>Packing bags (25 pieces)</t>
        </is>
      </c>
      <c r="B8" s="5" t="n">
        <v>179</v>
      </c>
      <c r="C8" s="6" t="n">
        <v>25</v>
      </c>
      <c r="D8" s="7">
        <f>B8/C8</f>
        <v/>
      </c>
    </row>
    <row r="9">
      <c r="A9" s="4" t="inlineStr">
        <is>
          <t>Cardboard boxes (25 pieces)</t>
        </is>
      </c>
      <c r="B9" s="5" t="n">
        <v>250</v>
      </c>
      <c r="C9" s="6" t="n">
        <v>25</v>
      </c>
      <c r="D9" s="7">
        <f>B9/C9</f>
        <v/>
      </c>
    </row>
    <row r="10">
      <c r="A10" s="4" t="inlineStr">
        <is>
          <t>Tape</t>
        </is>
      </c>
      <c r="B10" s="5" t="n">
        <v>50</v>
      </c>
      <c r="C10" s="6" t="n">
        <v>90</v>
      </c>
      <c r="D10" s="7">
        <f>B10/C10</f>
        <v/>
      </c>
    </row>
    <row r="11">
      <c r="A11" s="4" t="inlineStr">
        <is>
          <t>Miscellaneous</t>
        </is>
      </c>
      <c r="B11" s="5" t="n">
        <v>200</v>
      </c>
      <c r="C11" s="6" t="n">
        <v>90</v>
      </c>
      <c r="D11" s="7">
        <f>B11/C11</f>
        <v/>
      </c>
    </row>
    <row r="12">
      <c r="B12" s="8" t="n"/>
    </row>
    <row r="13">
      <c r="A13" s="9" t="inlineStr">
        <is>
          <t>TOTAL CASH EXPENSES</t>
        </is>
      </c>
      <c r="B13" s="10">
        <f>SUM(B5:B11)</f>
        <v/>
      </c>
    </row>
    <row r="14">
      <c r="A14" s="11" t="inlineStr">
        <is>
          <t>Average product purchase cost per product</t>
        </is>
      </c>
      <c r="B14" s="12">
        <f>B5/C5</f>
        <v/>
      </c>
    </row>
    <row r="15">
      <c r="A15" s="11" t="inlineStr">
        <is>
          <t>Total number of products</t>
        </is>
      </c>
      <c r="B15" s="12">
        <f>C5</f>
        <v/>
      </c>
    </row>
    <row r="16">
      <c r="A16" s="11" t="inlineStr">
        <is>
          <t>Note</t>
        </is>
      </c>
      <c r="B16" s="13" t="inlineStr">
        <is>
          <t>Packing bags and cardboard boxes are entered as 25 pieces each. This means these supplies currently cover only 25 orders if one of each is used per order.</t>
        </is>
      </c>
    </row>
    <row r="17"/>
  </sheetData>
  <mergeCells count="3">
    <mergeCell ref="B16:D17"/>
    <mergeCell ref="A1:D1"/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20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20" customWidth="1" min="9" max="9"/>
    <col width="20" customWidth="1" min="10" max="10"/>
  </cols>
  <sheetData>
    <row r="1">
      <c r="A1" s="1" t="inlineStr">
        <is>
          <t>MEESHO SETTLEMENT &amp; PROFIT CALCULATOR</t>
        </is>
      </c>
    </row>
    <row r="2">
      <c r="A2" s="2" t="inlineStr">
        <is>
          <t>Settlement amounts below are transcribed from your Meesho screenshot. Update them from the latest pricing screen.</t>
        </is>
      </c>
    </row>
    <row r="3">
      <c r="A3" s="2" t="inlineStr">
        <is>
          <t>Average cost allocation uses 90 products. Packing bag and box cost per used piece is based on 25 pieces purchased.</t>
        </is>
      </c>
    </row>
    <row r="4"/>
    <row r="5" ht="44" customHeight="1">
      <c r="A5" s="14" t="inlineStr">
        <is>
          <t>Product</t>
        </is>
      </c>
      <c r="B5" s="14" t="inlineStr">
        <is>
          <t>Meesho customer price (₹)</t>
        </is>
      </c>
      <c r="C5" s="14" t="inlineStr">
        <is>
          <t>Meesho bank transfer (₹)</t>
        </is>
      </c>
      <c r="D5" s="14" t="inlineStr">
        <is>
          <t>Product cost / unit (₹)</t>
        </is>
      </c>
      <c r="E5" s="14" t="inlineStr">
        <is>
          <t>Shared cost / unit (₹)</t>
        </is>
      </c>
      <c r="F5" s="14" t="inlineStr">
        <is>
          <t>Bag + box / order (₹)</t>
        </is>
      </c>
      <c r="G5" s="14" t="inlineStr">
        <is>
          <t>Total estimated cost (₹)</t>
        </is>
      </c>
      <c r="H5" s="14" t="inlineStr">
        <is>
          <t>Estimated profit (₹)</t>
        </is>
      </c>
      <c r="I5" s="14" t="inlineStr">
        <is>
          <t>Profit margin on transfer</t>
        </is>
      </c>
      <c r="J5" s="14" t="inlineStr">
        <is>
          <t>Break-even transfer (₹)</t>
        </is>
      </c>
    </row>
    <row r="6">
      <c r="A6" s="11" t="inlineStr">
        <is>
          <t>Wild Animal Puzzle</t>
        </is>
      </c>
      <c r="B6" s="5" t="n">
        <v>248</v>
      </c>
      <c r="C6" s="5" t="n">
        <v>190</v>
      </c>
      <c r="D6" s="7">
        <f>'Expense Summary'!$B$5/'Expense Summary'!$C$5</f>
        <v/>
      </c>
      <c r="E6" s="7">
        <f>SUM('Expense Summary'!$B$6,'Expense Summary'!$B$7,'Expense Summary'!$B$10,'Expense Summary'!$B$11)/'Expense Summary'!$C$5</f>
        <v/>
      </c>
      <c r="F6" s="7">
        <f>'Expense Summary'!$D$8+'Expense Summary'!$D$9</f>
        <v/>
      </c>
      <c r="G6" s="7">
        <f>SUM(D6:F6)</f>
        <v/>
      </c>
      <c r="H6" s="7">
        <f>C6-G6</f>
        <v/>
      </c>
      <c r="I6" s="15">
        <f>IFERROR(H6/C6,0)</f>
        <v/>
      </c>
      <c r="J6" s="7">
        <f>G6</f>
        <v/>
      </c>
    </row>
    <row r="7">
      <c r="A7" s="11" t="inlineStr">
        <is>
          <t>Vegetable Puzzle</t>
        </is>
      </c>
      <c r="B7" s="5" t="n">
        <v>159</v>
      </c>
      <c r="C7" s="5" t="n">
        <v>105</v>
      </c>
      <c r="D7" s="7">
        <f>'Expense Summary'!$B$5/'Expense Summary'!$C$5</f>
        <v/>
      </c>
      <c r="E7" s="7">
        <f>SUM('Expense Summary'!$B$6,'Expense Summary'!$B$7,'Expense Summary'!$B$10,'Expense Summary'!$B$11)/'Expense Summary'!$C$5</f>
        <v/>
      </c>
      <c r="F7" s="7">
        <f>'Expense Summary'!$D$8+'Expense Summary'!$D$9</f>
        <v/>
      </c>
      <c r="G7" s="7">
        <f>SUM(D7:F7)</f>
        <v/>
      </c>
      <c r="H7" s="7">
        <f>C7-G7</f>
        <v/>
      </c>
      <c r="I7" s="15">
        <f>IFERROR(H7/C7,0)</f>
        <v/>
      </c>
      <c r="J7" s="7">
        <f>G7</f>
        <v/>
      </c>
    </row>
    <row r="8">
      <c r="A8" s="11" t="inlineStr">
        <is>
          <t>Shapes Puzzle</t>
        </is>
      </c>
      <c r="B8" s="5" t="n">
        <v>173</v>
      </c>
      <c r="C8" s="5" t="n">
        <v>117</v>
      </c>
      <c r="D8" s="7">
        <f>'Expense Summary'!$B$5/'Expense Summary'!$C$5</f>
        <v/>
      </c>
      <c r="E8" s="7">
        <f>SUM('Expense Summary'!$B$6,'Expense Summary'!$B$7,'Expense Summary'!$B$10,'Expense Summary'!$B$11)/'Expense Summary'!$C$5</f>
        <v/>
      </c>
      <c r="F8" s="7">
        <f>'Expense Summary'!$D$8+'Expense Summary'!$D$9</f>
        <v/>
      </c>
      <c r="G8" s="7">
        <f>SUM(D8:F8)</f>
        <v/>
      </c>
      <c r="H8" s="7">
        <f>C8-G8</f>
        <v/>
      </c>
      <c r="I8" s="15">
        <f>IFERROR(H8/C8,0)</f>
        <v/>
      </c>
      <c r="J8" s="7">
        <f>G8</f>
        <v/>
      </c>
    </row>
    <row r="9">
      <c r="A9" s="11" t="inlineStr">
        <is>
          <t>Educational Puzzle</t>
        </is>
      </c>
      <c r="B9" s="5" t="n">
        <v>215</v>
      </c>
      <c r="C9" s="5" t="n">
        <v>160</v>
      </c>
      <c r="D9" s="7">
        <f>'Expense Summary'!$B$5/'Expense Summary'!$C$5</f>
        <v/>
      </c>
      <c r="E9" s="7">
        <f>SUM('Expense Summary'!$B$6,'Expense Summary'!$B$7,'Expense Summary'!$B$10,'Expense Summary'!$B$11)/'Expense Summary'!$C$5</f>
        <v/>
      </c>
      <c r="F9" s="7">
        <f>'Expense Summary'!$D$8+'Expense Summary'!$D$9</f>
        <v/>
      </c>
      <c r="G9" s="7">
        <f>SUM(D9:F9)</f>
        <v/>
      </c>
      <c r="H9" s="7">
        <f>C9-G9</f>
        <v/>
      </c>
      <c r="I9" s="15">
        <f>IFERROR(H9/C9,0)</f>
        <v/>
      </c>
      <c r="J9" s="7">
        <f>G9</f>
        <v/>
      </c>
    </row>
    <row r="10"/>
    <row r="11"/>
    <row r="12">
      <c r="A12" s="16" t="inlineStr">
        <is>
          <t>TOTAL EXPENSES PAID</t>
        </is>
      </c>
      <c r="B12" s="17">
        <f>'Expense Summary'!B13</f>
        <v/>
      </c>
    </row>
    <row r="13">
      <c r="A13" s="16" t="inlineStr">
        <is>
          <t>Estimated cost per packed order</t>
        </is>
      </c>
      <c r="B13" s="17">
        <f>G6</f>
        <v/>
      </c>
    </row>
    <row r="14">
      <c r="A14" s="11" t="inlineStr">
        <is>
          <t>Important assumption</t>
        </is>
      </c>
      <c r="B14" s="18" t="inlineStr">
        <is>
          <t>This calculator uses the average purchase cost (₹11,000 ÷ 90) for every product. Actual product costs may differ. It assumes one bag and one box per order; bag and box costs are ₹179 ÷ 25 and ₹250 ÷ 25 respectively. Confirm whether the ₹500 delivery charge is inward transport or customer delivery.</t>
        </is>
      </c>
    </row>
    <row r="15"/>
    <row r="16"/>
  </sheetData>
  <autoFilter ref="A5:J9"/>
  <mergeCells count="4">
    <mergeCell ref="A1:J1"/>
    <mergeCell ref="B14:J16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2026-10-20T05:54:40Z</dcterms:created>
  <dcterms:modified xmlns:dcterms="http://purl.org/dc/terms/" xmlns:xsi="http://www.w3.org/2001/XMLSchema-instance" xsi:type="dcterms:W3CDTF">2026-10-20T05:54:40Z</dcterms:modified>
</cp:coreProperties>
</file>